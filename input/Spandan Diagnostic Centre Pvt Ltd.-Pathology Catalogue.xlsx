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fhl-my.sharepoint.com/personal/sai_panchal_bfhl_in/Documents/Desktop/Catalogue-Sales/"/>
    </mc:Choice>
  </mc:AlternateContent>
  <xr:revisionPtr revIDLastSave="0" documentId="8_{A5C5C732-4FEA-461C-AFCA-5F54DB99BBC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4" i="1" l="1"/>
  <c r="F95" i="1"/>
  <c r="F96" i="1"/>
  <c r="F97" i="1"/>
  <c r="F98" i="1"/>
  <c r="F99" i="1"/>
  <c r="F100" i="1"/>
  <c r="F101" i="1"/>
  <c r="F102" i="1"/>
  <c r="F103" i="1"/>
  <c r="F104" i="1"/>
  <c r="F93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9" i="1"/>
  <c r="D15" i="1"/>
  <c r="F15" i="1" s="1"/>
  <c r="F41" i="1"/>
  <c r="F44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08" i="1"/>
</calcChain>
</file>

<file path=xl/sharedStrings.xml><?xml version="1.0" encoding="utf-8"?>
<sst xmlns="http://schemas.openxmlformats.org/spreadsheetml/2006/main" count="155" uniqueCount="126">
  <si>
    <t>Procedure &amp; Offer price:</t>
  </si>
  <si>
    <t>PET CT</t>
  </si>
  <si>
    <t>Sl. No</t>
  </si>
  <si>
    <t>INVESTIGATION</t>
  </si>
  <si>
    <t>MRP*</t>
  </si>
  <si>
    <t>3T MRI SCAN</t>
  </si>
  <si>
    <t>MRI STANDARD PROTOCOL</t>
  </si>
  <si>
    <t>MRI SINGLE  PART (SPINE,JOINTS)</t>
  </si>
  <si>
    <t>MRI DOUBLE PART (SPINE,JOINTS)</t>
  </si>
  <si>
    <t xml:space="preserve">MRI BRAIN &amp; ANGIO </t>
  </si>
  <si>
    <t>MRI BRAIN &amp; ANGIO (Brain &amp; Neck)</t>
  </si>
  <si>
    <t>Sl. No.</t>
  </si>
  <si>
    <t xml:space="preserve">MRI RENAL ANGIO </t>
  </si>
  <si>
    <t xml:space="preserve">MRI W ABDOMEN </t>
  </si>
  <si>
    <t xml:space="preserve">MRI PERIPHERAL ANGIO </t>
  </si>
  <si>
    <t xml:space="preserve">MRI PROSTATE </t>
  </si>
  <si>
    <t>MRI BREAST</t>
  </si>
  <si>
    <t>MRI ABDOMEN TRIPLE PHASE</t>
  </si>
  <si>
    <t>MRI AORTA ANGIO</t>
  </si>
  <si>
    <t>MRI CISTERNOGRAPHY</t>
  </si>
  <si>
    <t>MRI DEFICOGRAPHY</t>
  </si>
  <si>
    <t>MRI LIVER MULTY PHASE</t>
  </si>
  <si>
    <t>MRI ANGIO UPPER/LOWER LIMB</t>
  </si>
  <si>
    <t>MRI FUNCTIONAL</t>
  </si>
  <si>
    <t xml:space="preserve">MRI BRAIN with PERFUSION </t>
  </si>
  <si>
    <t xml:space="preserve">MRI BRAIN with SPECTROSCOPY </t>
  </si>
  <si>
    <t xml:space="preserve"> MRI Peripheral MR angiogram</t>
  </si>
  <si>
    <t>ADDITIONAL SCREENING</t>
  </si>
  <si>
    <t xml:space="preserve">MRI CONTRAST </t>
  </si>
  <si>
    <t>500 SLICE  CT SCAN</t>
  </si>
  <si>
    <t xml:space="preserve">500  SLICE  CT SCANNER </t>
  </si>
  <si>
    <t>CT Brain</t>
  </si>
  <si>
    <t>CT FACE</t>
  </si>
  <si>
    <t>CT PNS</t>
  </si>
  <si>
    <t>CT Chest</t>
  </si>
  <si>
    <t xml:space="preserve">CT NECK </t>
  </si>
  <si>
    <t xml:space="preserve">CT NECK &amp; THORAX </t>
  </si>
  <si>
    <t xml:space="preserve">CT Scan any Joint </t>
  </si>
  <si>
    <t>CT HRCT Temporal bone/ Mastoid</t>
  </si>
  <si>
    <t>CT 3D Skull face</t>
  </si>
  <si>
    <t>CT  CERVICO-DORSAL(C1 - D8)</t>
  </si>
  <si>
    <t>CT  D.L.SPINE (D9 - L3)</t>
  </si>
  <si>
    <t>CT  DORSAL SPINE (1-6)</t>
  </si>
  <si>
    <t>CT DORSAL SPINE (6-12)</t>
  </si>
  <si>
    <t>CT DORSAL SPINE (1-12)</t>
  </si>
  <si>
    <t>CT  FACE &amp; NECK</t>
  </si>
  <si>
    <t>CT KUB plain</t>
  </si>
  <si>
    <t>CT HRCT Lungs Plain</t>
  </si>
  <si>
    <t>CT 3D Spine /Joints</t>
  </si>
  <si>
    <t>CT Plain Pelvis</t>
  </si>
  <si>
    <t>CT Plain Whole abdomen</t>
  </si>
  <si>
    <t xml:space="preserve">CT Plain Whole abdomen and Thorax </t>
  </si>
  <si>
    <t xml:space="preserve">CT Virtual Broanchoscopy </t>
  </si>
  <si>
    <t xml:space="preserve">CT Abdomen triple phase </t>
  </si>
  <si>
    <t xml:space="preserve">CT Brain Angio </t>
  </si>
  <si>
    <t xml:space="preserve">CT Carotid Angio </t>
  </si>
  <si>
    <t xml:space="preserve">CT Brain &amp; Neck Angio </t>
  </si>
  <si>
    <t xml:space="preserve">CT Angio Neck &amp; Thorax </t>
  </si>
  <si>
    <t xml:space="preserve">CT Aorta Angio </t>
  </si>
  <si>
    <t xml:space="preserve">CT Cardiac Angio </t>
  </si>
  <si>
    <t>CT Angiogram/Upper Limbs/Lower Limbs</t>
  </si>
  <si>
    <t>CT Angiogram( Renal/Thorasic/Abdomenal)</t>
  </si>
  <si>
    <t xml:space="preserve"> CT CONTRAST </t>
  </si>
  <si>
    <t xml:space="preserve">CT CONTRAST </t>
  </si>
  <si>
    <t xml:space="preserve">X-Ray Procedures </t>
  </si>
  <si>
    <t>Mammography (B/L)</t>
  </si>
  <si>
    <t>Mammography Single</t>
  </si>
  <si>
    <t>DIGITAL Xray Single Part AP</t>
  </si>
  <si>
    <t>DIGITAL X-RAY AP/LAT</t>
  </si>
  <si>
    <t>DIGITAL X-RAY RGU+MCU</t>
  </si>
  <si>
    <t>DIGITAL XRAY KUB</t>
  </si>
  <si>
    <t>DIGITAL XRAY SINGLE PART</t>
  </si>
  <si>
    <t>DIGITAL XRAY SPECIAL STAUDY</t>
  </si>
  <si>
    <t>DIGITAL XRAY SPECIAL STAUDY DOUBLE</t>
  </si>
  <si>
    <t>DIGITAL HSG X-RAY</t>
  </si>
  <si>
    <t>DIGITAL X ray Double Part AP</t>
  </si>
  <si>
    <t>DIGITAL X RAY DOUBLE PART AP/LAT</t>
  </si>
  <si>
    <t>DIGITAL X RAY FOUR PART AP</t>
  </si>
  <si>
    <t>DIGITAL X RAY MCU</t>
  </si>
  <si>
    <t>DIGITAL X RAY RGU</t>
  </si>
  <si>
    <t>DIGITAL X RAY TRIPLE PART AP</t>
  </si>
  <si>
    <t>DIGITAL X RAY TRIPLE PART AP/LAT</t>
  </si>
  <si>
    <t>OTHER INVESTIGATION</t>
  </si>
  <si>
    <t>EEG</t>
  </si>
  <si>
    <t xml:space="preserve">NCV </t>
  </si>
  <si>
    <t xml:space="preserve">COLONOSCOPY </t>
  </si>
  <si>
    <t>TMT</t>
  </si>
  <si>
    <t>2D ECHO</t>
  </si>
  <si>
    <t>HOLTER 24 H</t>
  </si>
  <si>
    <t>PFT</t>
  </si>
  <si>
    <t xml:space="preserve">DEXA SCAN any single part </t>
  </si>
  <si>
    <t xml:space="preserve">DEXA SCAN any Double Part </t>
  </si>
  <si>
    <t xml:space="preserve">DEXA SCAN Whole body </t>
  </si>
  <si>
    <t xml:space="preserve">UROFLOWMETRY </t>
  </si>
  <si>
    <t xml:space="preserve"> ULTRASONOGRAPHY &amp; DOPPLER </t>
  </si>
  <si>
    <t>ULTRASOUND</t>
  </si>
  <si>
    <t>USG ABDOMEN &amp; PELVIS</t>
  </si>
  <si>
    <t xml:space="preserve">PREGNANCY SCAN OR NT </t>
  </si>
  <si>
    <t xml:space="preserve">USG TIFFA </t>
  </si>
  <si>
    <t>BOTH LIMB DOPPLER ARTERY + VEIN</t>
  </si>
  <si>
    <t>CAROTOID  DOPPLER</t>
  </si>
  <si>
    <t>RENAL DOPPLER</t>
  </si>
  <si>
    <t>SINGLE LIMB DOPLER ARTERY + VEIN</t>
  </si>
  <si>
    <t>SINGLE LIMB DOPLER ARTERY OR  VEIN</t>
  </si>
  <si>
    <t xml:space="preserve">DOPPLER CAROTID + VERTEBRAL </t>
  </si>
  <si>
    <t xml:space="preserve">FIBROSCAN LIVER </t>
  </si>
  <si>
    <t>TVS</t>
  </si>
  <si>
    <t>FOLLICULAR USG</t>
  </si>
  <si>
    <t>USG FNAC</t>
  </si>
  <si>
    <t>LABORATORY SERVICE</t>
  </si>
  <si>
    <t>PATHOLOGY</t>
  </si>
  <si>
    <t>ALL PATHOLOGY INVESTIGATION</t>
  </si>
  <si>
    <t xml:space="preserve">MRCP </t>
  </si>
  <si>
    <t>ENDOSCOPY</t>
  </si>
  <si>
    <t xml:space="preserve">MRI ANY SPINE WITH SCREENING W SPINE </t>
  </si>
  <si>
    <t>Discount
Amt</t>
  </si>
  <si>
    <t>FINAL
PRICE</t>
  </si>
  <si>
    <t xml:space="preserve">MRI BRAIN with PERFUSION &amp; SPECTROSCOPY </t>
  </si>
  <si>
    <t>MRI BRAIN WITH MRV</t>
  </si>
  <si>
    <t>MRI BRAIN WITH ANGIO &amp;  MRV</t>
  </si>
  <si>
    <t>MRI BRAIN WITH ANGIO(Brain &amp; Neck )</t>
  </si>
  <si>
    <t>FLAT 30% ON MRP</t>
  </si>
  <si>
    <t>, BHUBANESWAR</t>
  </si>
  <si>
    <t>NIL</t>
  </si>
  <si>
    <t>PET CT WHOLE BODY</t>
  </si>
  <si>
    <t>Discount%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</si>
</sst>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B0F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0"/>
      <color rgb="FF7030A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97">
    <xf numFmtId="0" fontId="0" fillId="0" borderId="0" xfId="0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5" fillId="2" borderId="1" xfId="0" applyFont="1" applyFill="1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 wrapText="1"/>
    </xf>
    <xf numFmtId="0" fontId="0" fillId="0" borderId="4" xfId="0" applyBorder="1"/>
    <xf numFmtId="0" fontId="3" fillId="2" borderId="5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8" xfId="0" applyFont="1" applyFill="1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0" fillId="4" borderId="0" xfId="0" applyFill="1"/>
    <xf numFmtId="0" fontId="5" fillId="2" borderId="12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13" xfId="0" applyFont="1" applyFill="1" applyBorder="1"/>
    <xf numFmtId="0" fontId="5" fillId="2" borderId="13" xfId="0" applyFont="1" applyFill="1" applyBorder="1" applyAlignment="1">
      <alignment horizontal="center"/>
    </xf>
    <xf numFmtId="0" fontId="0" fillId="0" borderId="2" xfId="0" applyBorder="1"/>
    <xf numFmtId="0" fontId="5" fillId="2" borderId="17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0" xfId="0" applyFont="1" applyFill="1"/>
    <xf numFmtId="0" fontId="5" fillId="2" borderId="0" xfId="0" applyFont="1" applyFill="1" applyAlignment="1">
      <alignment wrapText="1"/>
    </xf>
    <xf numFmtId="0" fontId="5" fillId="3" borderId="0" xfId="0" applyFont="1" applyFill="1" applyAlignment="1">
      <alignment wrapText="1"/>
    </xf>
    <xf numFmtId="0" fontId="5" fillId="3" borderId="0" xfId="0" applyFont="1" applyFill="1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5" fillId="3" borderId="8" xfId="0" applyFont="1" applyFill="1" applyBorder="1" applyAlignment="1">
      <alignment wrapText="1"/>
    </xf>
    <xf numFmtId="0" fontId="5" fillId="3" borderId="8" xfId="0" applyFont="1" applyFill="1" applyBorder="1" applyAlignment="1">
      <alignment horizontal="center" wrapText="1"/>
    </xf>
    <xf numFmtId="0" fontId="3" fillId="2" borderId="8" xfId="0" applyFont="1" applyFill="1" applyBorder="1"/>
    <xf numFmtId="0" fontId="3" fillId="2" borderId="8" xfId="0" applyFont="1" applyFill="1" applyBorder="1" applyAlignment="1">
      <alignment horizontal="center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center"/>
    </xf>
    <xf numFmtId="0" fontId="5" fillId="2" borderId="13" xfId="0" applyFont="1" applyFill="1" applyBorder="1" applyAlignment="1">
      <alignment wrapText="1"/>
    </xf>
    <xf numFmtId="9" fontId="5" fillId="2" borderId="0" xfId="0" applyNumberFormat="1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wrapText="1"/>
    </xf>
    <xf numFmtId="0" fontId="8" fillId="2" borderId="1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 wrapText="1"/>
    </xf>
    <xf numFmtId="0" fontId="8" fillId="2" borderId="0" xfId="0" applyFont="1" applyFill="1" applyAlignment="1">
      <alignment horizontal="center"/>
    </xf>
    <xf numFmtId="0" fontId="8" fillId="2" borderId="11" xfId="0" applyFont="1" applyFill="1" applyBorder="1" applyAlignment="1">
      <alignment horizontal="center" wrapText="1"/>
    </xf>
    <xf numFmtId="0" fontId="8" fillId="2" borderId="10" xfId="0" applyFont="1" applyFill="1" applyBorder="1" applyAlignment="1">
      <alignment horizontal="center" wrapText="1"/>
    </xf>
    <xf numFmtId="0" fontId="9" fillId="0" borderId="10" xfId="0" applyFont="1" applyBorder="1" applyAlignment="1">
      <alignment horizontal="center"/>
    </xf>
    <xf numFmtId="0" fontId="8" fillId="2" borderId="13" xfId="0" applyFont="1" applyFill="1" applyBorder="1" applyAlignment="1">
      <alignment horizontal="center"/>
    </xf>
    <xf numFmtId="1" fontId="8" fillId="2" borderId="1" xfId="0" applyNumberFormat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 wrapText="1"/>
    </xf>
    <xf numFmtId="0" fontId="10" fillId="2" borderId="1" xfId="0" applyFont="1" applyFill="1" applyBorder="1" applyAlignment="1">
      <alignment horizontal="center" wrapText="1"/>
    </xf>
    <xf numFmtId="0" fontId="10" fillId="2" borderId="9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 wrapText="1"/>
    </xf>
    <xf numFmtId="0" fontId="10" fillId="2" borderId="0" xfId="0" applyFont="1" applyFill="1" applyAlignment="1">
      <alignment horizontal="center"/>
    </xf>
    <xf numFmtId="0" fontId="10" fillId="2" borderId="15" xfId="0" applyFont="1" applyFill="1" applyBorder="1" applyAlignment="1">
      <alignment horizontal="center" wrapText="1"/>
    </xf>
    <xf numFmtId="0" fontId="10" fillId="2" borderId="6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1" fillId="0" borderId="4" xfId="0" applyFont="1" applyBorder="1"/>
    <xf numFmtId="0" fontId="10" fillId="2" borderId="1" xfId="0" applyFont="1" applyFill="1" applyBorder="1" applyAlignment="1">
      <alignment horizontal="center"/>
    </xf>
    <xf numFmtId="0" fontId="11" fillId="0" borderId="1" xfId="0" applyFont="1" applyBorder="1"/>
    <xf numFmtId="0" fontId="11" fillId="0" borderId="6" xfId="0" applyFont="1" applyBorder="1"/>
    <xf numFmtId="0" fontId="11" fillId="0" borderId="9" xfId="0" applyFont="1" applyBorder="1"/>
    <xf numFmtId="0" fontId="11" fillId="0" borderId="0" xfId="0" applyFont="1"/>
    <xf numFmtId="1" fontId="11" fillId="0" borderId="6" xfId="0" applyNumberFormat="1" applyFont="1" applyBorder="1"/>
    <xf numFmtId="0" fontId="11" fillId="0" borderId="16" xfId="0" applyFont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8" fillId="2" borderId="24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8" fillId="2" borderId="25" xfId="0" applyFont="1" applyFill="1" applyBorder="1" applyAlignment="1">
      <alignment horizontal="center"/>
    </xf>
    <xf numFmtId="9" fontId="4" fillId="2" borderId="11" xfId="1" applyFont="1" applyFill="1" applyBorder="1" applyAlignment="1">
      <alignment horizontal="center"/>
    </xf>
    <xf numFmtId="9" fontId="8" fillId="2" borderId="1" xfId="1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 vertical="center" wrapText="1"/>
    </xf>
    <xf numFmtId="0" fontId="11" fillId="0" borderId="27" xfId="0" applyFont="1" applyBorder="1"/>
    <xf numFmtId="9" fontId="8" fillId="2" borderId="13" xfId="1" applyFont="1" applyFill="1" applyBorder="1" applyAlignment="1">
      <alignment horizontal="center"/>
    </xf>
    <xf numFmtId="0" fontId="8" fillId="2" borderId="28" xfId="0" applyFont="1" applyFill="1" applyBorder="1" applyAlignment="1">
      <alignment horizontal="center" vertical="center" wrapText="1"/>
    </xf>
    <xf numFmtId="9" fontId="8" fillId="2" borderId="26" xfId="1" applyFont="1" applyFill="1" applyBorder="1" applyAlignment="1">
      <alignment horizontal="center"/>
    </xf>
    <xf numFmtId="0" fontId="11" fillId="0" borderId="21" xfId="0" applyFont="1" applyBorder="1"/>
    <xf numFmtId="0" fontId="9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3" fillId="4" borderId="22" xfId="0" applyFont="1" applyFill="1" applyBorder="1" applyAlignment="1">
      <alignment horizontal="center"/>
    </xf>
    <xf numFmtId="0" fontId="3" fillId="4" borderId="23" xfId="0" applyFont="1" applyFill="1" applyBorder="1" applyAlignment="1">
      <alignment horizontal="center"/>
    </xf>
    <xf numFmtId="0" fontId="3" fillId="4" borderId="16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wrapText="1"/>
    </xf>
    <xf numFmtId="0" fontId="6" fillId="0" borderId="3" xfId="0" applyFont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4"/>
  <sheetViews>
    <sheetView tabSelected="1" workbookViewId="0">
      <selection sqref="A1:G1"/>
    </sheetView>
  </sheetViews>
  <sheetFormatPr defaultRowHeight="15" x14ac:dyDescent="0.25"/>
  <cols>
    <col min="1" max="1" width="5.5703125" bestFit="1" customWidth="1"/>
    <col min="2" max="2" width="39" bestFit="1" customWidth="1"/>
    <col min="3" max="3" width="10.7109375" customWidth="1"/>
    <col min="4" max="4" width="10" style="53" bestFit="1" customWidth="1"/>
    <col min="5" max="5" width="10" style="53" customWidth="1"/>
    <col min="6" max="6" width="8.5703125" style="68" bestFit="1" customWidth="1"/>
    <col min="7" max="7" width="13.42578125" customWidth="1"/>
  </cols>
  <sheetData>
    <row r="1" spans="1:11" ht="18.75" x14ac:dyDescent="0.3">
      <c r="A1" s="86" t="s">
        <v>0</v>
      </c>
      <c r="B1" s="87"/>
      <c r="C1" s="87"/>
      <c r="D1" s="87"/>
      <c r="E1" s="87"/>
      <c r="F1" s="87"/>
      <c r="G1" s="88"/>
    </row>
    <row r="2" spans="1:11" ht="15.75" thickBot="1" x14ac:dyDescent="0.3">
      <c r="A2" s="89" t="s">
        <v>122</v>
      </c>
      <c r="B2" s="90"/>
      <c r="C2" s="90"/>
      <c r="D2" s="90"/>
      <c r="E2" s="90"/>
      <c r="F2" s="90"/>
      <c r="G2" s="91"/>
    </row>
    <row r="3" spans="1:11" x14ac:dyDescent="0.25">
      <c r="A3" s="29"/>
      <c r="B3" s="95" t="s">
        <v>1</v>
      </c>
      <c r="C3" s="95"/>
      <c r="D3" s="42"/>
      <c r="E3" s="42"/>
      <c r="F3" s="54"/>
      <c r="G3" s="8"/>
    </row>
    <row r="4" spans="1:11" ht="26.25" x14ac:dyDescent="0.25">
      <c r="A4" s="9" t="s">
        <v>2</v>
      </c>
      <c r="B4" s="2" t="s">
        <v>3</v>
      </c>
      <c r="C4" s="1" t="s">
        <v>4</v>
      </c>
      <c r="D4" s="43" t="s">
        <v>115</v>
      </c>
      <c r="E4" s="77" t="s">
        <v>125</v>
      </c>
      <c r="F4" s="55" t="s">
        <v>116</v>
      </c>
    </row>
    <row r="5" spans="1:11" x14ac:dyDescent="0.25">
      <c r="A5" s="10">
        <v>1</v>
      </c>
      <c r="B5" s="4" t="s">
        <v>124</v>
      </c>
      <c r="C5" s="3">
        <v>25000</v>
      </c>
      <c r="D5" s="71">
        <v>3000</v>
      </c>
      <c r="E5" s="75">
        <v>0.12</v>
      </c>
      <c r="F5" s="61">
        <v>22000</v>
      </c>
    </row>
    <row r="6" spans="1:11" ht="15.75" thickBot="1" x14ac:dyDescent="0.3">
      <c r="A6" s="15"/>
      <c r="B6" s="20"/>
      <c r="C6" s="21"/>
      <c r="D6" s="51"/>
      <c r="E6" s="72"/>
      <c r="F6" s="62"/>
    </row>
    <row r="7" spans="1:11" x14ac:dyDescent="0.25">
      <c r="A7" s="19"/>
      <c r="B7" s="95" t="s">
        <v>5</v>
      </c>
      <c r="C7" s="95"/>
      <c r="D7" s="42"/>
      <c r="E7" s="73"/>
      <c r="F7" s="63"/>
    </row>
    <row r="8" spans="1:11" ht="26.25" x14ac:dyDescent="0.25">
      <c r="A8" s="1" t="s">
        <v>2</v>
      </c>
      <c r="B8" s="1" t="s">
        <v>6</v>
      </c>
      <c r="C8" s="1" t="s">
        <v>4</v>
      </c>
      <c r="D8" s="43" t="s">
        <v>115</v>
      </c>
      <c r="E8" s="77" t="s">
        <v>125</v>
      </c>
      <c r="F8" s="56" t="s">
        <v>116</v>
      </c>
    </row>
    <row r="9" spans="1:11" x14ac:dyDescent="0.25">
      <c r="A9" s="3">
        <v>1</v>
      </c>
      <c r="B9" s="4" t="s">
        <v>7</v>
      </c>
      <c r="C9" s="3">
        <v>6500</v>
      </c>
      <c r="D9" s="44">
        <v>2000</v>
      </c>
      <c r="E9" s="76">
        <v>0.30769230769230771</v>
      </c>
      <c r="F9" s="64">
        <f t="shared" ref="F9:F34" si="0">C9-D9</f>
        <v>4500</v>
      </c>
      <c r="H9" s="16"/>
      <c r="I9" s="39"/>
      <c r="J9" s="16"/>
      <c r="K9" s="16"/>
    </row>
    <row r="10" spans="1:11" x14ac:dyDescent="0.25">
      <c r="A10" s="3">
        <v>2</v>
      </c>
      <c r="B10" s="4" t="s">
        <v>8</v>
      </c>
      <c r="C10" s="3">
        <v>13000</v>
      </c>
      <c r="D10" s="44">
        <v>4000</v>
      </c>
      <c r="E10" s="76">
        <v>0.30769230769230771</v>
      </c>
      <c r="F10" s="64">
        <f t="shared" si="0"/>
        <v>9000</v>
      </c>
      <c r="H10" s="16"/>
      <c r="I10" s="39"/>
      <c r="J10" s="16"/>
      <c r="K10" s="16"/>
    </row>
    <row r="11" spans="1:11" x14ac:dyDescent="0.25">
      <c r="A11" s="3">
        <v>3</v>
      </c>
      <c r="B11" s="4" t="s">
        <v>112</v>
      </c>
      <c r="C11" s="3">
        <v>6500</v>
      </c>
      <c r="D11" s="44">
        <v>2000</v>
      </c>
      <c r="E11" s="76">
        <v>0.30769230769230771</v>
      </c>
      <c r="F11" s="64">
        <f t="shared" si="0"/>
        <v>4500</v>
      </c>
      <c r="H11" s="16"/>
      <c r="I11" s="39"/>
      <c r="J11" s="16"/>
      <c r="K11" s="16"/>
    </row>
    <row r="12" spans="1:11" x14ac:dyDescent="0.25">
      <c r="A12" s="3">
        <v>4</v>
      </c>
      <c r="B12" s="4" t="s">
        <v>114</v>
      </c>
      <c r="C12" s="3">
        <v>6500</v>
      </c>
      <c r="D12" s="44">
        <v>2000</v>
      </c>
      <c r="E12" s="76">
        <v>0.30769230769230771</v>
      </c>
      <c r="F12" s="64">
        <f t="shared" si="0"/>
        <v>4500</v>
      </c>
      <c r="H12" s="16"/>
      <c r="I12" s="39"/>
      <c r="J12" s="16"/>
      <c r="K12" s="16"/>
    </row>
    <row r="13" spans="1:11" x14ac:dyDescent="0.25">
      <c r="A13" s="3">
        <v>5</v>
      </c>
      <c r="B13" s="4" t="s">
        <v>9</v>
      </c>
      <c r="C13" s="3">
        <v>8000</v>
      </c>
      <c r="D13" s="44">
        <v>2500</v>
      </c>
      <c r="E13" s="76">
        <v>0.3125</v>
      </c>
      <c r="F13" s="64">
        <f t="shared" si="0"/>
        <v>5500</v>
      </c>
      <c r="H13" s="16"/>
      <c r="I13" s="39"/>
      <c r="J13" s="16"/>
      <c r="K13" s="16"/>
    </row>
    <row r="14" spans="1:11" x14ac:dyDescent="0.25">
      <c r="A14" s="3">
        <v>6</v>
      </c>
      <c r="B14" s="4" t="s">
        <v>10</v>
      </c>
      <c r="C14" s="3">
        <v>9000</v>
      </c>
      <c r="D14" s="44">
        <v>2600</v>
      </c>
      <c r="E14" s="76">
        <v>0.28888888888888886</v>
      </c>
      <c r="F14" s="64">
        <f t="shared" si="0"/>
        <v>6400</v>
      </c>
      <c r="H14" s="16"/>
      <c r="I14" s="39"/>
      <c r="J14" s="16"/>
      <c r="K14" s="16"/>
    </row>
    <row r="15" spans="1:11" x14ac:dyDescent="0.25">
      <c r="A15" s="3">
        <v>8</v>
      </c>
      <c r="B15" s="4" t="s">
        <v>12</v>
      </c>
      <c r="C15" s="3">
        <v>7000</v>
      </c>
      <c r="D15" s="44">
        <f>C15*30%</f>
        <v>2100</v>
      </c>
      <c r="E15" s="76">
        <v>0.3</v>
      </c>
      <c r="F15" s="64">
        <f t="shared" si="0"/>
        <v>4900</v>
      </c>
      <c r="H15" s="16"/>
      <c r="I15" s="39"/>
      <c r="J15" s="16"/>
      <c r="K15" s="16"/>
    </row>
    <row r="16" spans="1:11" x14ac:dyDescent="0.25">
      <c r="A16" s="3">
        <v>9</v>
      </c>
      <c r="B16" s="4" t="s">
        <v>13</v>
      </c>
      <c r="C16" s="3">
        <v>9000</v>
      </c>
      <c r="D16" s="44">
        <v>2600</v>
      </c>
      <c r="E16" s="76">
        <v>0.28888888888888886</v>
      </c>
      <c r="F16" s="64">
        <f t="shared" si="0"/>
        <v>6400</v>
      </c>
      <c r="H16" s="16"/>
      <c r="I16" s="39"/>
      <c r="J16" s="16"/>
      <c r="K16" s="16"/>
    </row>
    <row r="17" spans="1:11" x14ac:dyDescent="0.25">
      <c r="A17" s="3">
        <v>10</v>
      </c>
      <c r="B17" s="4" t="s">
        <v>14</v>
      </c>
      <c r="C17" s="3">
        <v>8000</v>
      </c>
      <c r="D17" s="44">
        <v>2500</v>
      </c>
      <c r="E17" s="76">
        <v>0.3125</v>
      </c>
      <c r="F17" s="64">
        <f t="shared" si="0"/>
        <v>5500</v>
      </c>
      <c r="H17" s="16"/>
      <c r="I17" s="39"/>
      <c r="J17" s="16"/>
      <c r="K17" s="16"/>
    </row>
    <row r="18" spans="1:11" x14ac:dyDescent="0.25">
      <c r="A18" s="3">
        <v>11</v>
      </c>
      <c r="B18" s="4" t="s">
        <v>15</v>
      </c>
      <c r="C18" s="3">
        <v>8000</v>
      </c>
      <c r="D18" s="44">
        <v>2500</v>
      </c>
      <c r="E18" s="76">
        <v>0.3125</v>
      </c>
      <c r="F18" s="64">
        <f t="shared" si="0"/>
        <v>5500</v>
      </c>
      <c r="H18" s="16"/>
      <c r="I18" s="39"/>
      <c r="J18" s="16"/>
      <c r="K18" s="16"/>
    </row>
    <row r="19" spans="1:11" x14ac:dyDescent="0.25">
      <c r="A19" s="3">
        <v>12</v>
      </c>
      <c r="B19" s="4" t="s">
        <v>16</v>
      </c>
      <c r="C19" s="3">
        <v>8000</v>
      </c>
      <c r="D19" s="44">
        <v>2500</v>
      </c>
      <c r="E19" s="76">
        <v>0.3125</v>
      </c>
      <c r="F19" s="64">
        <f t="shared" si="0"/>
        <v>5500</v>
      </c>
      <c r="H19" s="16"/>
      <c r="I19" s="39"/>
      <c r="J19" s="16"/>
      <c r="K19" s="16"/>
    </row>
    <row r="20" spans="1:11" x14ac:dyDescent="0.25">
      <c r="A20" s="3">
        <v>13</v>
      </c>
      <c r="B20" s="4" t="s">
        <v>17</v>
      </c>
      <c r="C20" s="3">
        <v>12000</v>
      </c>
      <c r="D20" s="44">
        <v>3500</v>
      </c>
      <c r="E20" s="76">
        <v>0.29166666666666669</v>
      </c>
      <c r="F20" s="64">
        <f t="shared" si="0"/>
        <v>8500</v>
      </c>
      <c r="H20" s="16"/>
      <c r="I20" s="39"/>
      <c r="J20" s="16"/>
      <c r="K20" s="16"/>
    </row>
    <row r="21" spans="1:11" x14ac:dyDescent="0.25">
      <c r="A21" s="3">
        <v>14</v>
      </c>
      <c r="B21" s="4" t="s">
        <v>18</v>
      </c>
      <c r="C21" s="3">
        <v>8000</v>
      </c>
      <c r="D21" s="44">
        <v>2500</v>
      </c>
      <c r="E21" s="76">
        <v>0.3125</v>
      </c>
      <c r="F21" s="64">
        <f t="shared" si="0"/>
        <v>5500</v>
      </c>
      <c r="H21" s="16"/>
      <c r="I21" s="39"/>
      <c r="J21" s="16"/>
      <c r="K21" s="16"/>
    </row>
    <row r="22" spans="1:11" x14ac:dyDescent="0.25">
      <c r="A22" s="3">
        <v>15</v>
      </c>
      <c r="B22" s="4" t="s">
        <v>19</v>
      </c>
      <c r="C22" s="3">
        <v>8000</v>
      </c>
      <c r="D22" s="44">
        <v>2500</v>
      </c>
      <c r="E22" s="76">
        <v>0.3125</v>
      </c>
      <c r="F22" s="64">
        <f t="shared" si="0"/>
        <v>5500</v>
      </c>
      <c r="H22" s="16"/>
      <c r="I22" s="39"/>
      <c r="J22" s="16"/>
      <c r="K22" s="16"/>
    </row>
    <row r="23" spans="1:11" x14ac:dyDescent="0.25">
      <c r="A23" s="3">
        <v>16</v>
      </c>
      <c r="B23" s="4" t="s">
        <v>20</v>
      </c>
      <c r="C23" s="3">
        <v>8000</v>
      </c>
      <c r="D23" s="44">
        <v>2500</v>
      </c>
      <c r="E23" s="76">
        <v>0.3125</v>
      </c>
      <c r="F23" s="64">
        <f t="shared" si="0"/>
        <v>5500</v>
      </c>
      <c r="H23" s="16"/>
      <c r="I23" s="39"/>
      <c r="J23" s="16"/>
      <c r="K23" s="16"/>
    </row>
    <row r="24" spans="1:11" x14ac:dyDescent="0.25">
      <c r="A24" s="3">
        <v>17</v>
      </c>
      <c r="B24" s="4" t="s">
        <v>21</v>
      </c>
      <c r="C24" s="3">
        <v>8000</v>
      </c>
      <c r="D24" s="44">
        <v>2500</v>
      </c>
      <c r="E24" s="76">
        <v>0.3125</v>
      </c>
      <c r="F24" s="64">
        <f t="shared" si="0"/>
        <v>5500</v>
      </c>
      <c r="H24" s="16"/>
      <c r="I24" s="39"/>
      <c r="J24" s="16"/>
      <c r="K24" s="16"/>
    </row>
    <row r="25" spans="1:11" x14ac:dyDescent="0.25">
      <c r="A25" s="3">
        <v>18</v>
      </c>
      <c r="B25" s="4" t="s">
        <v>22</v>
      </c>
      <c r="C25" s="3">
        <v>8000</v>
      </c>
      <c r="D25" s="44">
        <v>2500</v>
      </c>
      <c r="E25" s="76">
        <v>0.3125</v>
      </c>
      <c r="F25" s="64">
        <f t="shared" si="0"/>
        <v>5500</v>
      </c>
      <c r="H25" s="16"/>
      <c r="I25" s="39"/>
      <c r="J25" s="16"/>
      <c r="K25" s="16"/>
    </row>
    <row r="26" spans="1:11" x14ac:dyDescent="0.25">
      <c r="A26" s="3">
        <v>19</v>
      </c>
      <c r="B26" s="4" t="s">
        <v>23</v>
      </c>
      <c r="C26" s="3">
        <v>8500</v>
      </c>
      <c r="D26" s="44">
        <v>2700</v>
      </c>
      <c r="E26" s="76">
        <v>0.31764705882352939</v>
      </c>
      <c r="F26" s="64">
        <f t="shared" si="0"/>
        <v>5800</v>
      </c>
      <c r="H26" s="16"/>
      <c r="I26" s="39"/>
      <c r="J26" s="16"/>
      <c r="K26" s="16"/>
    </row>
    <row r="27" spans="1:11" x14ac:dyDescent="0.25">
      <c r="A27" s="3">
        <v>20</v>
      </c>
      <c r="B27" s="4" t="s">
        <v>24</v>
      </c>
      <c r="C27" s="3">
        <v>8500</v>
      </c>
      <c r="D27" s="44">
        <v>2700</v>
      </c>
      <c r="E27" s="76">
        <v>0.31764705882352939</v>
      </c>
      <c r="F27" s="64">
        <f t="shared" si="0"/>
        <v>5800</v>
      </c>
      <c r="H27" s="16"/>
      <c r="I27" s="39"/>
      <c r="J27" s="16"/>
      <c r="K27" s="16"/>
    </row>
    <row r="28" spans="1:11" x14ac:dyDescent="0.25">
      <c r="A28" s="3">
        <v>21</v>
      </c>
      <c r="B28" s="4" t="s">
        <v>25</v>
      </c>
      <c r="C28" s="3">
        <v>8500</v>
      </c>
      <c r="D28" s="44">
        <v>2700</v>
      </c>
      <c r="E28" s="76">
        <v>0.31764705882352939</v>
      </c>
      <c r="F28" s="64">
        <f t="shared" si="0"/>
        <v>5800</v>
      </c>
      <c r="H28" s="16"/>
      <c r="I28" s="39"/>
      <c r="J28" s="16"/>
      <c r="K28" s="16"/>
    </row>
    <row r="29" spans="1:11" x14ac:dyDescent="0.25">
      <c r="A29" s="3">
        <v>22</v>
      </c>
      <c r="B29" s="4" t="s">
        <v>117</v>
      </c>
      <c r="C29" s="3">
        <v>10500</v>
      </c>
      <c r="D29" s="44">
        <v>2800</v>
      </c>
      <c r="E29" s="76">
        <v>0.26666666666666666</v>
      </c>
      <c r="F29" s="64">
        <f t="shared" si="0"/>
        <v>7700</v>
      </c>
      <c r="H29" s="16"/>
      <c r="I29" s="39"/>
      <c r="J29" s="16"/>
      <c r="K29" s="16"/>
    </row>
    <row r="30" spans="1:11" x14ac:dyDescent="0.25">
      <c r="A30" s="3">
        <v>23</v>
      </c>
      <c r="B30" s="4" t="s">
        <v>26</v>
      </c>
      <c r="C30" s="3">
        <v>8000</v>
      </c>
      <c r="D30" s="44">
        <v>2500</v>
      </c>
      <c r="E30" s="76">
        <v>0.3125</v>
      </c>
      <c r="F30" s="64">
        <f t="shared" si="0"/>
        <v>5500</v>
      </c>
      <c r="H30" s="16"/>
      <c r="I30" s="39"/>
      <c r="J30" s="16"/>
      <c r="K30" s="16"/>
    </row>
    <row r="31" spans="1:11" x14ac:dyDescent="0.25">
      <c r="A31" s="3">
        <v>24</v>
      </c>
      <c r="B31" s="4" t="s">
        <v>118</v>
      </c>
      <c r="C31" s="3">
        <v>8000</v>
      </c>
      <c r="D31" s="44">
        <v>2500</v>
      </c>
      <c r="E31" s="76">
        <v>0.3125</v>
      </c>
      <c r="F31" s="64">
        <f t="shared" si="0"/>
        <v>5500</v>
      </c>
      <c r="H31" s="16"/>
      <c r="I31" s="39"/>
      <c r="J31" s="16"/>
      <c r="K31" s="16"/>
    </row>
    <row r="32" spans="1:11" x14ac:dyDescent="0.25">
      <c r="A32" s="3">
        <v>25</v>
      </c>
      <c r="B32" s="4" t="s">
        <v>119</v>
      </c>
      <c r="C32" s="3">
        <v>9000</v>
      </c>
      <c r="D32" s="44">
        <v>2600</v>
      </c>
      <c r="E32" s="76">
        <v>0.28888888888888886</v>
      </c>
      <c r="F32" s="64">
        <f t="shared" si="0"/>
        <v>6400</v>
      </c>
      <c r="H32" s="16"/>
      <c r="I32" s="39"/>
      <c r="J32" s="16"/>
      <c r="K32" s="16"/>
    </row>
    <row r="33" spans="1:11" x14ac:dyDescent="0.25">
      <c r="A33" s="3">
        <v>26</v>
      </c>
      <c r="B33" s="4" t="s">
        <v>120</v>
      </c>
      <c r="C33" s="3">
        <v>9000</v>
      </c>
      <c r="D33" s="44">
        <v>2600</v>
      </c>
      <c r="E33" s="76">
        <v>0.28888888888888886</v>
      </c>
      <c r="F33" s="64">
        <f t="shared" si="0"/>
        <v>6400</v>
      </c>
      <c r="H33" s="16"/>
      <c r="I33" s="39"/>
      <c r="J33" s="16"/>
      <c r="K33" s="16"/>
    </row>
    <row r="34" spans="1:11" s="14" customFormat="1" x14ac:dyDescent="0.25">
      <c r="A34" s="3">
        <v>27</v>
      </c>
      <c r="B34" s="36" t="s">
        <v>27</v>
      </c>
      <c r="C34" s="37">
        <v>3000</v>
      </c>
      <c r="D34" s="44">
        <v>500</v>
      </c>
      <c r="E34" s="76">
        <v>0.16666666666666666</v>
      </c>
      <c r="F34" s="64">
        <f t="shared" si="0"/>
        <v>2500</v>
      </c>
      <c r="H34" s="40"/>
      <c r="I34" s="41"/>
      <c r="J34" s="16"/>
      <c r="K34" s="40"/>
    </row>
    <row r="35" spans="1:11" x14ac:dyDescent="0.25">
      <c r="A35" s="3"/>
      <c r="B35" s="92" t="s">
        <v>28</v>
      </c>
      <c r="C35" s="92"/>
      <c r="D35" s="44"/>
      <c r="E35" s="76"/>
      <c r="F35" s="65"/>
    </row>
    <row r="36" spans="1:11" ht="15.75" thickBot="1" x14ac:dyDescent="0.3">
      <c r="A36" s="24"/>
      <c r="B36" s="34" t="s">
        <v>28</v>
      </c>
      <c r="C36" s="35">
        <v>2500</v>
      </c>
      <c r="D36" s="45" t="s">
        <v>123</v>
      </c>
      <c r="E36" s="79"/>
      <c r="F36" s="57">
        <v>2500</v>
      </c>
    </row>
    <row r="37" spans="1:11" ht="15.75" thickBot="1" x14ac:dyDescent="0.3">
      <c r="A37" s="23"/>
      <c r="B37" s="96" t="s">
        <v>29</v>
      </c>
      <c r="C37" s="96"/>
      <c r="D37" s="74"/>
      <c r="E37" s="81"/>
      <c r="F37" s="78"/>
    </row>
    <row r="38" spans="1:11" ht="26.25" x14ac:dyDescent="0.25">
      <c r="A38" s="29" t="s">
        <v>11</v>
      </c>
      <c r="B38" s="31" t="s">
        <v>30</v>
      </c>
      <c r="C38" s="31" t="s">
        <v>4</v>
      </c>
      <c r="D38" s="46" t="s">
        <v>115</v>
      </c>
      <c r="E38" s="80" t="s">
        <v>125</v>
      </c>
      <c r="F38" s="58" t="s">
        <v>116</v>
      </c>
    </row>
    <row r="39" spans="1:11" x14ac:dyDescent="0.25">
      <c r="A39" s="10">
        <v>1</v>
      </c>
      <c r="B39" s="5" t="s">
        <v>31</v>
      </c>
      <c r="C39" s="3">
        <v>2000</v>
      </c>
      <c r="D39" s="71">
        <v>500</v>
      </c>
      <c r="E39" s="76">
        <v>0.25</v>
      </c>
      <c r="F39" s="61">
        <v>1500</v>
      </c>
    </row>
    <row r="40" spans="1:11" ht="15.75" customHeight="1" x14ac:dyDescent="0.25">
      <c r="A40" s="10">
        <v>2</v>
      </c>
      <c r="B40" s="5" t="s">
        <v>32</v>
      </c>
      <c r="C40" s="3">
        <v>4000</v>
      </c>
      <c r="D40" s="71">
        <v>800</v>
      </c>
      <c r="E40" s="76">
        <v>0.2</v>
      </c>
      <c r="F40" s="61">
        <v>3200</v>
      </c>
    </row>
    <row r="41" spans="1:11" x14ac:dyDescent="0.25">
      <c r="A41" s="10">
        <v>3</v>
      </c>
      <c r="B41" s="5" t="s">
        <v>33</v>
      </c>
      <c r="C41" s="3">
        <v>2400</v>
      </c>
      <c r="D41" s="71">
        <v>600</v>
      </c>
      <c r="E41" s="76">
        <v>0.25</v>
      </c>
      <c r="F41" s="61">
        <f t="shared" ref="F41:F69" si="1">C41-D41</f>
        <v>1800</v>
      </c>
    </row>
    <row r="42" spans="1:11" x14ac:dyDescent="0.25">
      <c r="A42" s="10">
        <v>4</v>
      </c>
      <c r="B42" s="5" t="s">
        <v>34</v>
      </c>
      <c r="C42" s="3">
        <v>4000</v>
      </c>
      <c r="D42" s="71">
        <v>800</v>
      </c>
      <c r="E42" s="76">
        <v>0.2</v>
      </c>
      <c r="F42" s="61">
        <v>3200</v>
      </c>
    </row>
    <row r="43" spans="1:11" x14ac:dyDescent="0.25">
      <c r="A43" s="10">
        <v>5</v>
      </c>
      <c r="B43" s="4" t="s">
        <v>35</v>
      </c>
      <c r="C43" s="3">
        <v>4000</v>
      </c>
      <c r="D43" s="71">
        <v>800</v>
      </c>
      <c r="E43" s="76">
        <v>0.2</v>
      </c>
      <c r="F43" s="61">
        <v>3200</v>
      </c>
    </row>
    <row r="44" spans="1:11" x14ac:dyDescent="0.25">
      <c r="A44" s="10">
        <v>6</v>
      </c>
      <c r="B44" s="4" t="s">
        <v>36</v>
      </c>
      <c r="C44" s="3">
        <v>6500</v>
      </c>
      <c r="D44" s="71">
        <v>2000</v>
      </c>
      <c r="E44" s="76">
        <v>0.30769230769230771</v>
      </c>
      <c r="F44" s="61">
        <f t="shared" si="1"/>
        <v>4500</v>
      </c>
    </row>
    <row r="45" spans="1:11" x14ac:dyDescent="0.25">
      <c r="A45" s="10">
        <v>7</v>
      </c>
      <c r="B45" s="4" t="s">
        <v>37</v>
      </c>
      <c r="C45" s="3">
        <v>4000</v>
      </c>
      <c r="D45" s="71">
        <v>800</v>
      </c>
      <c r="E45" s="76">
        <v>0.2</v>
      </c>
      <c r="F45" s="61">
        <v>3200</v>
      </c>
    </row>
    <row r="46" spans="1:11" x14ac:dyDescent="0.25">
      <c r="A46" s="10">
        <v>8</v>
      </c>
      <c r="B46" s="5" t="s">
        <v>38</v>
      </c>
      <c r="C46" s="3">
        <v>2400</v>
      </c>
      <c r="D46" s="44">
        <v>600</v>
      </c>
      <c r="E46" s="76">
        <v>0.25</v>
      </c>
      <c r="F46" s="61">
        <f t="shared" si="1"/>
        <v>1800</v>
      </c>
    </row>
    <row r="47" spans="1:11" x14ac:dyDescent="0.25">
      <c r="A47" s="10">
        <v>9</v>
      </c>
      <c r="B47" s="5" t="s">
        <v>39</v>
      </c>
      <c r="C47" s="3">
        <v>3500</v>
      </c>
      <c r="D47" s="44">
        <v>1000</v>
      </c>
      <c r="E47" s="76">
        <v>0.2857142857142857</v>
      </c>
      <c r="F47" s="61">
        <f t="shared" si="1"/>
        <v>2500</v>
      </c>
    </row>
    <row r="48" spans="1:11" x14ac:dyDescent="0.25">
      <c r="A48" s="10">
        <v>10</v>
      </c>
      <c r="B48" s="6" t="s">
        <v>40</v>
      </c>
      <c r="C48" s="3">
        <v>4000</v>
      </c>
      <c r="D48" s="44">
        <v>800</v>
      </c>
      <c r="E48" s="76">
        <v>0.2</v>
      </c>
      <c r="F48" s="61">
        <f t="shared" si="1"/>
        <v>3200</v>
      </c>
    </row>
    <row r="49" spans="1:6" x14ac:dyDescent="0.25">
      <c r="A49" s="10">
        <v>11</v>
      </c>
      <c r="B49" s="6" t="s">
        <v>41</v>
      </c>
      <c r="C49" s="3">
        <v>4000</v>
      </c>
      <c r="D49" s="44">
        <v>800</v>
      </c>
      <c r="E49" s="76">
        <v>0.2</v>
      </c>
      <c r="F49" s="61">
        <f t="shared" si="1"/>
        <v>3200</v>
      </c>
    </row>
    <row r="50" spans="1:6" x14ac:dyDescent="0.25">
      <c r="A50" s="10">
        <v>12</v>
      </c>
      <c r="B50" s="6" t="s">
        <v>42</v>
      </c>
      <c r="C50" s="3">
        <v>4000</v>
      </c>
      <c r="D50" s="44">
        <v>800</v>
      </c>
      <c r="E50" s="76">
        <v>0.2</v>
      </c>
      <c r="F50" s="61">
        <f t="shared" si="1"/>
        <v>3200</v>
      </c>
    </row>
    <row r="51" spans="1:6" x14ac:dyDescent="0.25">
      <c r="A51" s="10">
        <v>13</v>
      </c>
      <c r="B51" s="6" t="s">
        <v>43</v>
      </c>
      <c r="C51" s="3">
        <v>4000</v>
      </c>
      <c r="D51" s="44">
        <v>800</v>
      </c>
      <c r="E51" s="76">
        <v>0.2</v>
      </c>
      <c r="F51" s="61">
        <f t="shared" si="1"/>
        <v>3200</v>
      </c>
    </row>
    <row r="52" spans="1:6" x14ac:dyDescent="0.25">
      <c r="A52" s="10">
        <v>14</v>
      </c>
      <c r="B52" s="6" t="s">
        <v>44</v>
      </c>
      <c r="C52" s="3">
        <v>5000</v>
      </c>
      <c r="D52" s="44">
        <v>1000</v>
      </c>
      <c r="E52" s="76">
        <v>0.2</v>
      </c>
      <c r="F52" s="61">
        <f t="shared" si="1"/>
        <v>4000</v>
      </c>
    </row>
    <row r="53" spans="1:6" x14ac:dyDescent="0.25">
      <c r="A53" s="10">
        <v>15</v>
      </c>
      <c r="B53" s="6" t="s">
        <v>45</v>
      </c>
      <c r="C53" s="3">
        <v>5000</v>
      </c>
      <c r="D53" s="44">
        <v>1000</v>
      </c>
      <c r="E53" s="76">
        <v>0.2</v>
      </c>
      <c r="F53" s="61">
        <f t="shared" si="1"/>
        <v>4000</v>
      </c>
    </row>
    <row r="54" spans="1:6" x14ac:dyDescent="0.25">
      <c r="A54" s="10">
        <v>16</v>
      </c>
      <c r="B54" s="5" t="s">
        <v>46</v>
      </c>
      <c r="C54" s="3">
        <v>4000</v>
      </c>
      <c r="D54" s="44">
        <v>800</v>
      </c>
      <c r="E54" s="76">
        <v>0.2</v>
      </c>
      <c r="F54" s="61">
        <f t="shared" si="1"/>
        <v>3200</v>
      </c>
    </row>
    <row r="55" spans="1:6" x14ac:dyDescent="0.25">
      <c r="A55" s="10">
        <v>17</v>
      </c>
      <c r="B55" s="5" t="s">
        <v>47</v>
      </c>
      <c r="C55" s="3">
        <v>4000</v>
      </c>
      <c r="D55" s="44">
        <v>800</v>
      </c>
      <c r="E55" s="76">
        <v>0.2</v>
      </c>
      <c r="F55" s="61">
        <f t="shared" si="1"/>
        <v>3200</v>
      </c>
    </row>
    <row r="56" spans="1:6" x14ac:dyDescent="0.25">
      <c r="A56" s="10">
        <v>18</v>
      </c>
      <c r="B56" s="5" t="s">
        <v>48</v>
      </c>
      <c r="C56" s="3">
        <v>4000</v>
      </c>
      <c r="D56" s="44">
        <v>800</v>
      </c>
      <c r="E56" s="76">
        <v>0.2</v>
      </c>
      <c r="F56" s="61">
        <f t="shared" si="1"/>
        <v>3200</v>
      </c>
    </row>
    <row r="57" spans="1:6" x14ac:dyDescent="0.25">
      <c r="A57" s="10">
        <v>19</v>
      </c>
      <c r="B57" s="5" t="s">
        <v>49</v>
      </c>
      <c r="C57" s="3">
        <v>4000</v>
      </c>
      <c r="D57" s="44">
        <v>800</v>
      </c>
      <c r="E57" s="76">
        <v>0.2</v>
      </c>
      <c r="F57" s="61">
        <f t="shared" si="1"/>
        <v>3200</v>
      </c>
    </row>
    <row r="58" spans="1:6" x14ac:dyDescent="0.25">
      <c r="A58" s="10">
        <v>20</v>
      </c>
      <c r="B58" s="5" t="s">
        <v>50</v>
      </c>
      <c r="C58" s="3">
        <v>6500</v>
      </c>
      <c r="D58" s="44">
        <v>2000</v>
      </c>
      <c r="E58" s="76">
        <v>0.30769230769230771</v>
      </c>
      <c r="F58" s="61">
        <f t="shared" si="1"/>
        <v>4500</v>
      </c>
    </row>
    <row r="59" spans="1:6" x14ac:dyDescent="0.25">
      <c r="A59" s="10">
        <v>21</v>
      </c>
      <c r="B59" s="5" t="s">
        <v>51</v>
      </c>
      <c r="C59" s="3">
        <v>10000</v>
      </c>
      <c r="D59" s="44">
        <v>2500</v>
      </c>
      <c r="E59" s="76">
        <v>0.25</v>
      </c>
      <c r="F59" s="61">
        <f t="shared" si="1"/>
        <v>7500</v>
      </c>
    </row>
    <row r="60" spans="1:6" x14ac:dyDescent="0.25">
      <c r="A60" s="10">
        <v>22</v>
      </c>
      <c r="B60" s="5" t="s">
        <v>52</v>
      </c>
      <c r="C60" s="3">
        <v>6000</v>
      </c>
      <c r="D60" s="44">
        <v>2000</v>
      </c>
      <c r="E60" s="76">
        <v>0.33333333333333331</v>
      </c>
      <c r="F60" s="61">
        <f t="shared" si="1"/>
        <v>4000</v>
      </c>
    </row>
    <row r="61" spans="1:6" x14ac:dyDescent="0.25">
      <c r="A61" s="10">
        <v>23</v>
      </c>
      <c r="B61" s="5" t="s">
        <v>53</v>
      </c>
      <c r="C61" s="3">
        <v>10000</v>
      </c>
      <c r="D61" s="44">
        <v>2500</v>
      </c>
      <c r="E61" s="76">
        <v>0.25</v>
      </c>
      <c r="F61" s="61">
        <f t="shared" si="1"/>
        <v>7500</v>
      </c>
    </row>
    <row r="62" spans="1:6" x14ac:dyDescent="0.25">
      <c r="A62" s="10">
        <v>24</v>
      </c>
      <c r="B62" s="5" t="s">
        <v>54</v>
      </c>
      <c r="C62" s="3">
        <v>6000</v>
      </c>
      <c r="D62" s="44">
        <v>1500</v>
      </c>
      <c r="E62" s="76">
        <v>0.25</v>
      </c>
      <c r="F62" s="61">
        <f t="shared" si="1"/>
        <v>4500</v>
      </c>
    </row>
    <row r="63" spans="1:6" x14ac:dyDescent="0.25">
      <c r="A63" s="10">
        <v>25</v>
      </c>
      <c r="B63" s="5" t="s">
        <v>55</v>
      </c>
      <c r="C63" s="3">
        <v>6000</v>
      </c>
      <c r="D63" s="44">
        <v>1500</v>
      </c>
      <c r="E63" s="76">
        <v>0.25</v>
      </c>
      <c r="F63" s="61">
        <f t="shared" si="1"/>
        <v>4500</v>
      </c>
    </row>
    <row r="64" spans="1:6" x14ac:dyDescent="0.25">
      <c r="A64" s="10">
        <v>26</v>
      </c>
      <c r="B64" s="5" t="s">
        <v>56</v>
      </c>
      <c r="C64" s="3">
        <v>8000</v>
      </c>
      <c r="D64" s="44">
        <v>2000</v>
      </c>
      <c r="E64" s="76">
        <v>0.25</v>
      </c>
      <c r="F64" s="61">
        <f t="shared" si="1"/>
        <v>6000</v>
      </c>
    </row>
    <row r="65" spans="1:7" x14ac:dyDescent="0.25">
      <c r="A65" s="10">
        <v>27</v>
      </c>
      <c r="B65" s="5" t="s">
        <v>57</v>
      </c>
      <c r="C65" s="3">
        <v>10000</v>
      </c>
      <c r="D65" s="44">
        <v>2500</v>
      </c>
      <c r="E65" s="76">
        <v>0.25</v>
      </c>
      <c r="F65" s="61">
        <f t="shared" si="1"/>
        <v>7500</v>
      </c>
    </row>
    <row r="66" spans="1:7" x14ac:dyDescent="0.25">
      <c r="A66" s="10">
        <v>28</v>
      </c>
      <c r="B66" s="5" t="s">
        <v>58</v>
      </c>
      <c r="C66" s="3">
        <v>10000</v>
      </c>
      <c r="D66" s="44">
        <v>2500</v>
      </c>
      <c r="E66" s="76">
        <v>0.25</v>
      </c>
      <c r="F66" s="61">
        <f t="shared" si="1"/>
        <v>7500</v>
      </c>
    </row>
    <row r="67" spans="1:7" x14ac:dyDescent="0.25">
      <c r="A67" s="10">
        <v>29</v>
      </c>
      <c r="B67" s="5" t="s">
        <v>59</v>
      </c>
      <c r="C67" s="3">
        <v>14000</v>
      </c>
      <c r="D67" s="44">
        <v>3000</v>
      </c>
      <c r="E67" s="76">
        <v>0.21428571428571427</v>
      </c>
      <c r="F67" s="61">
        <f t="shared" si="1"/>
        <v>11000</v>
      </c>
    </row>
    <row r="68" spans="1:7" x14ac:dyDescent="0.25">
      <c r="A68" s="10">
        <v>30</v>
      </c>
      <c r="B68" s="5" t="s">
        <v>60</v>
      </c>
      <c r="C68" s="3">
        <v>8000</v>
      </c>
      <c r="D68" s="44">
        <v>2000</v>
      </c>
      <c r="E68" s="76">
        <v>0.25</v>
      </c>
      <c r="F68" s="61">
        <f t="shared" si="1"/>
        <v>6000</v>
      </c>
    </row>
    <row r="69" spans="1:7" x14ac:dyDescent="0.25">
      <c r="A69" s="10">
        <v>31</v>
      </c>
      <c r="B69" s="5" t="s">
        <v>61</v>
      </c>
      <c r="C69" s="3">
        <v>8000</v>
      </c>
      <c r="D69" s="44">
        <v>2000</v>
      </c>
      <c r="E69" s="76">
        <v>0.25</v>
      </c>
      <c r="F69" s="61">
        <f t="shared" si="1"/>
        <v>6000</v>
      </c>
    </row>
    <row r="70" spans="1:7" x14ac:dyDescent="0.25">
      <c r="A70" s="10"/>
      <c r="B70" s="92" t="s">
        <v>62</v>
      </c>
      <c r="C70" s="92"/>
      <c r="D70" s="44"/>
      <c r="E70" s="76"/>
      <c r="F70" s="66"/>
    </row>
    <row r="71" spans="1:7" ht="15.75" thickBot="1" x14ac:dyDescent="0.3">
      <c r="A71" s="24"/>
      <c r="B71" s="34" t="s">
        <v>63</v>
      </c>
      <c r="C71" s="35">
        <v>1200</v>
      </c>
      <c r="D71" s="45" t="s">
        <v>123</v>
      </c>
      <c r="E71" s="79"/>
      <c r="F71" s="57">
        <v>1200</v>
      </c>
    </row>
    <row r="72" spans="1:7" ht="15.75" thickBot="1" x14ac:dyDescent="0.3">
      <c r="A72" s="16"/>
      <c r="B72" s="17"/>
      <c r="C72" s="18"/>
      <c r="D72" s="47"/>
      <c r="E72" s="81"/>
      <c r="F72" s="59"/>
      <c r="G72" s="16"/>
    </row>
    <row r="73" spans="1:7" ht="26.25" x14ac:dyDescent="0.25">
      <c r="A73" s="9" t="s">
        <v>11</v>
      </c>
      <c r="B73" s="1" t="s">
        <v>64</v>
      </c>
      <c r="C73" s="1" t="s">
        <v>4</v>
      </c>
      <c r="D73" s="48" t="s">
        <v>115</v>
      </c>
      <c r="E73" s="80" t="s">
        <v>125</v>
      </c>
      <c r="F73" s="55" t="s">
        <v>116</v>
      </c>
    </row>
    <row r="74" spans="1:7" x14ac:dyDescent="0.25">
      <c r="A74" s="10">
        <v>1</v>
      </c>
      <c r="B74" s="5" t="s">
        <v>65</v>
      </c>
      <c r="C74" s="3">
        <v>2800</v>
      </c>
      <c r="D74" s="44">
        <v>500</v>
      </c>
      <c r="E74" s="76">
        <v>0.17857142857142858</v>
      </c>
      <c r="F74" s="66">
        <f t="shared" ref="F74:F90" si="2">C74-D74</f>
        <v>2300</v>
      </c>
    </row>
    <row r="75" spans="1:7" x14ac:dyDescent="0.25">
      <c r="A75" s="10">
        <v>2</v>
      </c>
      <c r="B75" s="5" t="s">
        <v>66</v>
      </c>
      <c r="C75" s="3">
        <v>1500</v>
      </c>
      <c r="D75" s="44">
        <v>250</v>
      </c>
      <c r="E75" s="76">
        <v>0.16666666666666666</v>
      </c>
      <c r="F75" s="66">
        <f t="shared" si="2"/>
        <v>1250</v>
      </c>
    </row>
    <row r="76" spans="1:7" x14ac:dyDescent="0.25">
      <c r="A76" s="10">
        <v>3</v>
      </c>
      <c r="B76" s="5" t="s">
        <v>67</v>
      </c>
      <c r="C76" s="3">
        <v>350</v>
      </c>
      <c r="D76" s="44">
        <v>100</v>
      </c>
      <c r="E76" s="76">
        <v>0.2857142857142857</v>
      </c>
      <c r="F76" s="66">
        <f t="shared" si="2"/>
        <v>250</v>
      </c>
    </row>
    <row r="77" spans="1:7" x14ac:dyDescent="0.25">
      <c r="A77" s="10">
        <v>4</v>
      </c>
      <c r="B77" s="6" t="s">
        <v>68</v>
      </c>
      <c r="C77" s="7">
        <v>650</v>
      </c>
      <c r="D77" s="44">
        <v>200</v>
      </c>
      <c r="E77" s="76">
        <v>0.30769230769230771</v>
      </c>
      <c r="F77" s="66">
        <f t="shared" si="2"/>
        <v>450</v>
      </c>
    </row>
    <row r="78" spans="1:7" x14ac:dyDescent="0.25">
      <c r="A78" s="10">
        <v>5</v>
      </c>
      <c r="B78" s="6" t="s">
        <v>69</v>
      </c>
      <c r="C78" s="7">
        <v>3000</v>
      </c>
      <c r="D78" s="44">
        <v>600</v>
      </c>
      <c r="E78" s="76">
        <v>0.2</v>
      </c>
      <c r="F78" s="66">
        <f t="shared" si="2"/>
        <v>2400</v>
      </c>
    </row>
    <row r="79" spans="1:7" x14ac:dyDescent="0.25">
      <c r="A79" s="10">
        <v>6</v>
      </c>
      <c r="B79" s="6" t="s">
        <v>70</v>
      </c>
      <c r="C79" s="7">
        <v>500</v>
      </c>
      <c r="D79" s="44">
        <v>150</v>
      </c>
      <c r="E79" s="76">
        <v>0.3</v>
      </c>
      <c r="F79" s="66">
        <f t="shared" si="2"/>
        <v>350</v>
      </c>
    </row>
    <row r="80" spans="1:7" x14ac:dyDescent="0.25">
      <c r="A80" s="10">
        <v>7</v>
      </c>
      <c r="B80" s="6" t="s">
        <v>71</v>
      </c>
      <c r="C80" s="7">
        <v>350</v>
      </c>
      <c r="D80" s="44">
        <v>100</v>
      </c>
      <c r="E80" s="76">
        <v>0.2857142857142857</v>
      </c>
      <c r="F80" s="66">
        <f t="shared" si="2"/>
        <v>250</v>
      </c>
    </row>
    <row r="81" spans="1:6" x14ac:dyDescent="0.25">
      <c r="A81" s="10">
        <v>8</v>
      </c>
      <c r="B81" s="6" t="s">
        <v>72</v>
      </c>
      <c r="C81" s="7">
        <v>1500</v>
      </c>
      <c r="D81" s="44">
        <v>250</v>
      </c>
      <c r="E81" s="76">
        <v>0.16666666666666666</v>
      </c>
      <c r="F81" s="66">
        <f t="shared" si="2"/>
        <v>1250</v>
      </c>
    </row>
    <row r="82" spans="1:6" x14ac:dyDescent="0.25">
      <c r="A82" s="10">
        <v>9</v>
      </c>
      <c r="B82" s="6" t="s">
        <v>73</v>
      </c>
      <c r="C82" s="7">
        <v>3000</v>
      </c>
      <c r="D82" s="44">
        <v>500</v>
      </c>
      <c r="E82" s="76">
        <v>0.16666666666666666</v>
      </c>
      <c r="F82" s="66">
        <f t="shared" si="2"/>
        <v>2500</v>
      </c>
    </row>
    <row r="83" spans="1:6" x14ac:dyDescent="0.25">
      <c r="A83" s="10">
        <v>10</v>
      </c>
      <c r="B83" s="6" t="s">
        <v>74</v>
      </c>
      <c r="C83" s="7">
        <v>2000</v>
      </c>
      <c r="D83" s="44">
        <v>500</v>
      </c>
      <c r="E83" s="76">
        <v>0.25</v>
      </c>
      <c r="F83" s="66">
        <f t="shared" si="2"/>
        <v>1500</v>
      </c>
    </row>
    <row r="84" spans="1:6" x14ac:dyDescent="0.25">
      <c r="A84" s="10">
        <v>11</v>
      </c>
      <c r="B84" s="6" t="s">
        <v>75</v>
      </c>
      <c r="C84" s="7">
        <v>650</v>
      </c>
      <c r="D84" s="44">
        <v>200</v>
      </c>
      <c r="E84" s="76">
        <v>0.30769230769230771</v>
      </c>
      <c r="F84" s="66">
        <f t="shared" si="2"/>
        <v>450</v>
      </c>
    </row>
    <row r="85" spans="1:6" x14ac:dyDescent="0.25">
      <c r="A85" s="10">
        <v>12</v>
      </c>
      <c r="B85" s="6" t="s">
        <v>76</v>
      </c>
      <c r="C85" s="7">
        <v>1300</v>
      </c>
      <c r="D85" s="44">
        <v>400</v>
      </c>
      <c r="E85" s="76">
        <v>0.30769230769230771</v>
      </c>
      <c r="F85" s="66">
        <f t="shared" si="2"/>
        <v>900</v>
      </c>
    </row>
    <row r="86" spans="1:6" x14ac:dyDescent="0.25">
      <c r="A86" s="10">
        <v>13</v>
      </c>
      <c r="B86" s="6" t="s">
        <v>77</v>
      </c>
      <c r="C86" s="7">
        <v>1300</v>
      </c>
      <c r="D86" s="44">
        <v>400</v>
      </c>
      <c r="E86" s="76">
        <v>0.30769230769230771</v>
      </c>
      <c r="F86" s="66">
        <f t="shared" si="2"/>
        <v>900</v>
      </c>
    </row>
    <row r="87" spans="1:6" x14ac:dyDescent="0.25">
      <c r="A87" s="10">
        <v>14</v>
      </c>
      <c r="B87" s="6" t="s">
        <v>78</v>
      </c>
      <c r="C87" s="7">
        <v>1500</v>
      </c>
      <c r="D87" s="44">
        <v>450</v>
      </c>
      <c r="E87" s="76">
        <v>0.3</v>
      </c>
      <c r="F87" s="66">
        <f t="shared" si="2"/>
        <v>1050</v>
      </c>
    </row>
    <row r="88" spans="1:6" x14ac:dyDescent="0.25">
      <c r="A88" s="10">
        <v>15</v>
      </c>
      <c r="B88" s="6" t="s">
        <v>79</v>
      </c>
      <c r="C88" s="7">
        <v>1500</v>
      </c>
      <c r="D88" s="44">
        <v>450</v>
      </c>
      <c r="E88" s="76">
        <v>0.3</v>
      </c>
      <c r="F88" s="66">
        <f t="shared" si="2"/>
        <v>1050</v>
      </c>
    </row>
    <row r="89" spans="1:6" x14ac:dyDescent="0.25">
      <c r="A89" s="10">
        <v>16</v>
      </c>
      <c r="B89" s="6" t="s">
        <v>80</v>
      </c>
      <c r="C89" s="7">
        <v>1000</v>
      </c>
      <c r="D89" s="44">
        <v>300</v>
      </c>
      <c r="E89" s="76">
        <v>0.3</v>
      </c>
      <c r="F89" s="66">
        <f t="shared" si="2"/>
        <v>700</v>
      </c>
    </row>
    <row r="90" spans="1:6" ht="15.75" thickBot="1" x14ac:dyDescent="0.3">
      <c r="A90" s="24">
        <v>17</v>
      </c>
      <c r="B90" s="32" t="s">
        <v>81</v>
      </c>
      <c r="C90" s="33">
        <v>2000</v>
      </c>
      <c r="D90" s="45">
        <v>600</v>
      </c>
      <c r="E90" s="79">
        <v>0.3</v>
      </c>
      <c r="F90" s="67">
        <f t="shared" si="2"/>
        <v>1400</v>
      </c>
    </row>
    <row r="91" spans="1:6" ht="15.75" thickBot="1" x14ac:dyDescent="0.3">
      <c r="A91" s="16"/>
      <c r="B91" s="27"/>
      <c r="C91" s="28"/>
      <c r="D91" s="47"/>
      <c r="E91" s="81"/>
    </row>
    <row r="92" spans="1:6" ht="26.25" x14ac:dyDescent="0.25">
      <c r="A92" s="29" t="s">
        <v>11</v>
      </c>
      <c r="B92" s="30" t="s">
        <v>82</v>
      </c>
      <c r="C92" s="31" t="s">
        <v>4</v>
      </c>
      <c r="D92" s="49" t="s">
        <v>115</v>
      </c>
      <c r="E92" s="80" t="s">
        <v>125</v>
      </c>
      <c r="F92" s="58" t="s">
        <v>116</v>
      </c>
    </row>
    <row r="93" spans="1:6" x14ac:dyDescent="0.25">
      <c r="A93" s="10">
        <v>1</v>
      </c>
      <c r="B93" s="5" t="s">
        <v>83</v>
      </c>
      <c r="C93" s="3">
        <v>1000</v>
      </c>
      <c r="D93" s="52">
        <v>300</v>
      </c>
      <c r="E93" s="76">
        <v>0.3</v>
      </c>
      <c r="F93" s="69">
        <f>C93-D93</f>
        <v>700</v>
      </c>
    </row>
    <row r="94" spans="1:6" x14ac:dyDescent="0.25">
      <c r="A94" s="10">
        <v>2</v>
      </c>
      <c r="B94" s="5" t="s">
        <v>84</v>
      </c>
      <c r="C94" s="3">
        <v>1800</v>
      </c>
      <c r="D94" s="52">
        <v>500</v>
      </c>
      <c r="E94" s="76">
        <v>0.27777777777777779</v>
      </c>
      <c r="F94" s="69">
        <f t="shared" ref="F94:F104" si="3">C94-D94</f>
        <v>1300</v>
      </c>
    </row>
    <row r="95" spans="1:6" x14ac:dyDescent="0.25">
      <c r="A95" s="10">
        <v>5</v>
      </c>
      <c r="B95" s="5" t="s">
        <v>86</v>
      </c>
      <c r="C95" s="3">
        <v>1500</v>
      </c>
      <c r="D95" s="52">
        <v>300</v>
      </c>
      <c r="E95" s="76">
        <v>0.2</v>
      </c>
      <c r="F95" s="69">
        <f t="shared" si="3"/>
        <v>1200</v>
      </c>
    </row>
    <row r="96" spans="1:6" x14ac:dyDescent="0.25">
      <c r="A96" s="10">
        <v>7</v>
      </c>
      <c r="B96" s="5" t="s">
        <v>87</v>
      </c>
      <c r="C96" s="3">
        <v>1500</v>
      </c>
      <c r="D96" s="52">
        <v>300</v>
      </c>
      <c r="E96" s="76">
        <v>0.2</v>
      </c>
      <c r="F96" s="69">
        <f t="shared" si="3"/>
        <v>1200</v>
      </c>
    </row>
    <row r="97" spans="1:6" x14ac:dyDescent="0.25">
      <c r="A97" s="10">
        <v>8</v>
      </c>
      <c r="B97" s="5" t="s">
        <v>88</v>
      </c>
      <c r="C97" s="3">
        <v>3000</v>
      </c>
      <c r="D97" s="52">
        <v>500</v>
      </c>
      <c r="E97" s="76">
        <v>0.16666666666666666</v>
      </c>
      <c r="F97" s="69">
        <f t="shared" si="3"/>
        <v>2500</v>
      </c>
    </row>
    <row r="98" spans="1:6" x14ac:dyDescent="0.25">
      <c r="A98" s="10">
        <v>9</v>
      </c>
      <c r="B98" s="5" t="s">
        <v>89</v>
      </c>
      <c r="C98" s="3">
        <v>1000</v>
      </c>
      <c r="D98" s="52">
        <v>300</v>
      </c>
      <c r="E98" s="76">
        <v>0.3</v>
      </c>
      <c r="F98" s="69">
        <f t="shared" si="3"/>
        <v>700</v>
      </c>
    </row>
    <row r="99" spans="1:6" x14ac:dyDescent="0.25">
      <c r="A99" s="10">
        <v>10</v>
      </c>
      <c r="B99" s="5" t="s">
        <v>90</v>
      </c>
      <c r="C99" s="3">
        <v>1000</v>
      </c>
      <c r="D99" s="52">
        <v>300</v>
      </c>
      <c r="E99" s="76">
        <v>0.3</v>
      </c>
      <c r="F99" s="69">
        <f t="shared" si="3"/>
        <v>700</v>
      </c>
    </row>
    <row r="100" spans="1:6" x14ac:dyDescent="0.25">
      <c r="A100" s="10">
        <v>10</v>
      </c>
      <c r="B100" s="5" t="s">
        <v>91</v>
      </c>
      <c r="C100" s="3">
        <v>2000</v>
      </c>
      <c r="D100" s="52">
        <v>600</v>
      </c>
      <c r="E100" s="76">
        <v>0.3</v>
      </c>
      <c r="F100" s="69">
        <f t="shared" si="3"/>
        <v>1400</v>
      </c>
    </row>
    <row r="101" spans="1:6" x14ac:dyDescent="0.25">
      <c r="A101" s="10">
        <v>10</v>
      </c>
      <c r="B101" s="5" t="s">
        <v>92</v>
      </c>
      <c r="C101" s="3">
        <v>5000</v>
      </c>
      <c r="D101" s="52">
        <v>1500</v>
      </c>
      <c r="E101" s="76">
        <v>0.3</v>
      </c>
      <c r="F101" s="69">
        <f t="shared" si="3"/>
        <v>3500</v>
      </c>
    </row>
    <row r="102" spans="1:6" x14ac:dyDescent="0.25">
      <c r="A102" s="15">
        <v>11</v>
      </c>
      <c r="B102" s="38" t="s">
        <v>93</v>
      </c>
      <c r="C102" s="21">
        <v>400</v>
      </c>
      <c r="D102" s="52">
        <v>100</v>
      </c>
      <c r="E102" s="76">
        <v>0.25</v>
      </c>
      <c r="F102" s="69">
        <f t="shared" si="3"/>
        <v>300</v>
      </c>
    </row>
    <row r="103" spans="1:6" x14ac:dyDescent="0.25">
      <c r="A103" s="10">
        <v>3</v>
      </c>
      <c r="B103" s="5" t="s">
        <v>113</v>
      </c>
      <c r="C103" s="3">
        <v>1600</v>
      </c>
      <c r="D103" s="52">
        <v>300</v>
      </c>
      <c r="E103" s="76">
        <v>0.1875</v>
      </c>
      <c r="F103" s="69">
        <f t="shared" si="3"/>
        <v>1300</v>
      </c>
    </row>
    <row r="104" spans="1:6" x14ac:dyDescent="0.25">
      <c r="A104" s="10">
        <v>4</v>
      </c>
      <c r="B104" s="5" t="s">
        <v>85</v>
      </c>
      <c r="C104" s="3">
        <v>4500</v>
      </c>
      <c r="D104" s="52">
        <v>500</v>
      </c>
      <c r="E104" s="76">
        <v>0.1111111111111111</v>
      </c>
      <c r="F104" s="69">
        <f t="shared" si="3"/>
        <v>4000</v>
      </c>
    </row>
    <row r="105" spans="1:6" ht="15.75" thickBot="1" x14ac:dyDescent="0.3">
      <c r="A105" s="16"/>
      <c r="B105" s="26"/>
      <c r="C105" s="16"/>
      <c r="D105" s="47"/>
      <c r="E105" s="79"/>
    </row>
    <row r="106" spans="1:6" ht="15.75" thickBot="1" x14ac:dyDescent="0.3">
      <c r="A106" s="19"/>
      <c r="B106" s="93" t="s">
        <v>94</v>
      </c>
      <c r="C106" s="93"/>
      <c r="D106" s="49"/>
      <c r="E106" s="81"/>
      <c r="F106" s="82"/>
    </row>
    <row r="107" spans="1:6" ht="26.25" x14ac:dyDescent="0.25">
      <c r="A107" s="9" t="s">
        <v>11</v>
      </c>
      <c r="B107" s="1" t="s">
        <v>95</v>
      </c>
      <c r="C107" s="1" t="s">
        <v>4</v>
      </c>
      <c r="D107" s="48" t="s">
        <v>115</v>
      </c>
      <c r="E107" s="80" t="s">
        <v>125</v>
      </c>
      <c r="F107" s="55" t="s">
        <v>116</v>
      </c>
    </row>
    <row r="108" spans="1:6" x14ac:dyDescent="0.25">
      <c r="A108" s="10">
        <v>1</v>
      </c>
      <c r="B108" s="4" t="s">
        <v>96</v>
      </c>
      <c r="C108" s="3">
        <v>1000</v>
      </c>
      <c r="D108" s="44">
        <v>250</v>
      </c>
      <c r="E108" s="76">
        <v>0.25</v>
      </c>
      <c r="F108" s="66">
        <f t="shared" ref="F108:F120" si="4">C108-D108</f>
        <v>750</v>
      </c>
    </row>
    <row r="109" spans="1:6" x14ac:dyDescent="0.25">
      <c r="A109" s="10">
        <v>2</v>
      </c>
      <c r="B109" s="4" t="s">
        <v>97</v>
      </c>
      <c r="C109" s="3">
        <v>1500</v>
      </c>
      <c r="D109" s="44">
        <v>0</v>
      </c>
      <c r="E109" s="76">
        <v>0</v>
      </c>
      <c r="F109" s="66">
        <f t="shared" si="4"/>
        <v>1500</v>
      </c>
    </row>
    <row r="110" spans="1:6" x14ac:dyDescent="0.25">
      <c r="A110" s="10">
        <v>3</v>
      </c>
      <c r="B110" s="4" t="s">
        <v>98</v>
      </c>
      <c r="C110" s="3">
        <v>2500</v>
      </c>
      <c r="D110" s="44">
        <v>200</v>
      </c>
      <c r="E110" s="76">
        <v>0.08</v>
      </c>
      <c r="F110" s="66">
        <f t="shared" si="4"/>
        <v>2300</v>
      </c>
    </row>
    <row r="111" spans="1:6" x14ac:dyDescent="0.25">
      <c r="A111" s="10">
        <v>4</v>
      </c>
      <c r="B111" s="4" t="s">
        <v>99</v>
      </c>
      <c r="C111" s="3">
        <v>5000</v>
      </c>
      <c r="D111" s="44">
        <v>1000</v>
      </c>
      <c r="E111" s="76">
        <v>0.2</v>
      </c>
      <c r="F111" s="66">
        <f t="shared" si="4"/>
        <v>4000</v>
      </c>
    </row>
    <row r="112" spans="1:6" x14ac:dyDescent="0.25">
      <c r="A112" s="10">
        <v>5</v>
      </c>
      <c r="B112" s="5" t="s">
        <v>100</v>
      </c>
      <c r="C112" s="3">
        <v>2000</v>
      </c>
      <c r="D112" s="44">
        <v>500</v>
      </c>
      <c r="E112" s="76">
        <v>0.25</v>
      </c>
      <c r="F112" s="66">
        <f t="shared" si="4"/>
        <v>1500</v>
      </c>
    </row>
    <row r="113" spans="1:6" x14ac:dyDescent="0.25">
      <c r="A113" s="10">
        <v>6</v>
      </c>
      <c r="B113" s="4" t="s">
        <v>101</v>
      </c>
      <c r="C113" s="3">
        <v>2000</v>
      </c>
      <c r="D113" s="44">
        <v>500</v>
      </c>
      <c r="E113" s="76">
        <v>0.25</v>
      </c>
      <c r="F113" s="66">
        <f t="shared" si="4"/>
        <v>1500</v>
      </c>
    </row>
    <row r="114" spans="1:6" x14ac:dyDescent="0.25">
      <c r="A114" s="10">
        <v>7</v>
      </c>
      <c r="B114" s="4" t="s">
        <v>102</v>
      </c>
      <c r="C114" s="3">
        <v>3500</v>
      </c>
      <c r="D114" s="44">
        <v>600</v>
      </c>
      <c r="E114" s="76">
        <v>0.17142857142857143</v>
      </c>
      <c r="F114" s="66">
        <f t="shared" si="4"/>
        <v>2900</v>
      </c>
    </row>
    <row r="115" spans="1:6" x14ac:dyDescent="0.25">
      <c r="A115" s="10">
        <v>8</v>
      </c>
      <c r="B115" s="4" t="s">
        <v>103</v>
      </c>
      <c r="C115" s="3">
        <v>2000</v>
      </c>
      <c r="D115" s="44">
        <v>500</v>
      </c>
      <c r="E115" s="76">
        <v>0.25</v>
      </c>
      <c r="F115" s="66">
        <f t="shared" si="4"/>
        <v>1500</v>
      </c>
    </row>
    <row r="116" spans="1:6" x14ac:dyDescent="0.25">
      <c r="A116" s="10">
        <v>9</v>
      </c>
      <c r="B116" s="4" t="s">
        <v>104</v>
      </c>
      <c r="C116" s="3">
        <v>2500</v>
      </c>
      <c r="D116" s="44">
        <v>500</v>
      </c>
      <c r="E116" s="76">
        <v>0.2</v>
      </c>
      <c r="F116" s="66">
        <f t="shared" si="4"/>
        <v>2000</v>
      </c>
    </row>
    <row r="117" spans="1:6" x14ac:dyDescent="0.25">
      <c r="A117" s="10">
        <v>10</v>
      </c>
      <c r="B117" s="4" t="s">
        <v>105</v>
      </c>
      <c r="C117" s="3">
        <v>2000</v>
      </c>
      <c r="D117" s="44">
        <v>500</v>
      </c>
      <c r="E117" s="76">
        <v>0.25</v>
      </c>
      <c r="F117" s="66">
        <f t="shared" si="4"/>
        <v>1500</v>
      </c>
    </row>
    <row r="118" spans="1:6" x14ac:dyDescent="0.25">
      <c r="A118" s="10">
        <v>11</v>
      </c>
      <c r="B118" s="4" t="s">
        <v>106</v>
      </c>
      <c r="C118" s="3">
        <v>1500</v>
      </c>
      <c r="D118" s="44">
        <v>250</v>
      </c>
      <c r="E118" s="76">
        <v>0.16666666666666666</v>
      </c>
      <c r="F118" s="66">
        <f t="shared" si="4"/>
        <v>1250</v>
      </c>
    </row>
    <row r="119" spans="1:6" x14ac:dyDescent="0.25">
      <c r="A119" s="10">
        <v>12</v>
      </c>
      <c r="B119" s="4" t="s">
        <v>107</v>
      </c>
      <c r="C119" s="3">
        <v>2000</v>
      </c>
      <c r="D119" s="44">
        <v>0</v>
      </c>
      <c r="E119" s="76">
        <v>0</v>
      </c>
      <c r="F119" s="66">
        <f t="shared" si="4"/>
        <v>2000</v>
      </c>
    </row>
    <row r="120" spans="1:6" x14ac:dyDescent="0.25">
      <c r="A120" s="10">
        <v>13</v>
      </c>
      <c r="B120" s="4" t="s">
        <v>108</v>
      </c>
      <c r="C120" s="3">
        <v>1500</v>
      </c>
      <c r="D120" s="44">
        <v>200</v>
      </c>
      <c r="E120" s="76">
        <v>0.13333333333333333</v>
      </c>
      <c r="F120" s="66">
        <f t="shared" si="4"/>
        <v>1300</v>
      </c>
    </row>
    <row r="121" spans="1:6" ht="15.75" thickBot="1" x14ac:dyDescent="0.3">
      <c r="A121" s="16"/>
      <c r="B121" s="25"/>
      <c r="C121" s="16"/>
      <c r="D121" s="47"/>
      <c r="E121" s="47"/>
    </row>
    <row r="122" spans="1:6" x14ac:dyDescent="0.25">
      <c r="A122" s="22"/>
      <c r="B122" s="94" t="s">
        <v>109</v>
      </c>
      <c r="C122" s="94"/>
      <c r="D122" s="50"/>
      <c r="E122" s="50"/>
      <c r="F122" s="63"/>
    </row>
    <row r="123" spans="1:6" ht="26.25" x14ac:dyDescent="0.25">
      <c r="A123" s="9" t="s">
        <v>11</v>
      </c>
      <c r="B123" s="13" t="s">
        <v>110</v>
      </c>
      <c r="C123" s="84" t="s">
        <v>4</v>
      </c>
      <c r="D123" s="83"/>
      <c r="E123" s="83"/>
      <c r="F123" s="60" t="s">
        <v>116</v>
      </c>
    </row>
    <row r="124" spans="1:6" ht="35.25" customHeight="1" thickBot="1" x14ac:dyDescent="0.3">
      <c r="A124" s="12">
        <v>1</v>
      </c>
      <c r="B124" s="11" t="s">
        <v>111</v>
      </c>
      <c r="C124" s="85"/>
      <c r="D124" s="83"/>
      <c r="E124" s="83"/>
      <c r="F124" s="70" t="s">
        <v>121</v>
      </c>
    </row>
  </sheetData>
  <mergeCells count="9">
    <mergeCell ref="A1:G1"/>
    <mergeCell ref="A2:G2"/>
    <mergeCell ref="B70:C70"/>
    <mergeCell ref="B106:C106"/>
    <mergeCell ref="B122:C122"/>
    <mergeCell ref="B3:C3"/>
    <mergeCell ref="B7:C7"/>
    <mergeCell ref="B35:C35"/>
    <mergeCell ref="B37:C3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Spandan</dc:creator>
  <cp:lastModifiedBy>Saiprasad Panchal</cp:lastModifiedBy>
  <cp:lastPrinted>2025-07-10T12:37:58Z</cp:lastPrinted>
  <dcterms:created xsi:type="dcterms:W3CDTF">2025-03-27T11:49:36Z</dcterms:created>
  <dcterms:modified xsi:type="dcterms:W3CDTF">2025-11-21T10:14:53Z</dcterms:modified>
</cp:coreProperties>
</file>